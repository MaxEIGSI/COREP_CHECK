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AB5149CD-8D9C-9547-8466-8966DF263A05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0100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6" i="1"/>
  <c r="C82" i="1"/>
  <c r="C103" i="1" s="1"/>
  <c r="C61" i="1"/>
  <c r="C78" i="1" s="1"/>
  <c r="C7" i="1"/>
  <c r="C60" i="1" s="1"/>
  <c r="C53" i="1" l="1"/>
  <c r="C22" i="1"/>
  <c r="C38" i="1"/>
  <c r="C54" i="1"/>
  <c r="C71" i="1"/>
  <c r="C23" i="1"/>
  <c r="C62" i="1"/>
  <c r="C79" i="1"/>
  <c r="C96" i="1"/>
  <c r="C47" i="1"/>
  <c r="C55" i="1"/>
  <c r="C72" i="1"/>
  <c r="C80" i="1"/>
  <c r="C97" i="1"/>
  <c r="C99" i="1"/>
  <c r="C26" i="1"/>
  <c r="C42" i="1"/>
  <c r="C58" i="1"/>
  <c r="C75" i="1"/>
  <c r="C92" i="1"/>
  <c r="C27" i="1"/>
  <c r="C43" i="1"/>
  <c r="C51" i="1"/>
  <c r="C59" i="1"/>
  <c r="C76" i="1"/>
  <c r="C93" i="1"/>
  <c r="C101" i="1"/>
  <c r="C24" i="1"/>
  <c r="C48" i="1"/>
  <c r="C56" i="1"/>
  <c r="C73" i="1"/>
  <c r="C81" i="1"/>
  <c r="C98" i="1"/>
  <c r="C8" i="1"/>
  <c r="C17" i="1"/>
  <c r="C25" i="1"/>
  <c r="C41" i="1"/>
  <c r="C49" i="1"/>
  <c r="C57" i="1"/>
  <c r="C74" i="1"/>
  <c r="C34" i="1"/>
  <c r="C50" i="1"/>
  <c r="C83" i="1"/>
  <c r="C100" i="1"/>
  <c r="C28" i="1"/>
  <c r="C52" i="1"/>
  <c r="C77" i="1"/>
  <c r="C94" i="1"/>
  <c r="C102" i="1"/>
  <c r="C95" i="1"/>
  <c r="C70" i="1" l="1"/>
  <c r="C66" i="1"/>
  <c r="C65" i="1"/>
  <c r="C63" i="1"/>
  <c r="C44" i="1"/>
  <c r="C46" i="1"/>
  <c r="C45" i="1"/>
  <c r="C33" i="1"/>
  <c r="C32" i="1"/>
  <c r="C31" i="1"/>
  <c r="C29" i="1"/>
  <c r="C30" i="1"/>
  <c r="C87" i="1"/>
  <c r="C86" i="1"/>
  <c r="C91" i="1"/>
  <c r="C84" i="1"/>
  <c r="C18" i="1"/>
  <c r="C19" i="1"/>
  <c r="C40" i="1"/>
  <c r="C39" i="1"/>
  <c r="C12" i="1"/>
  <c r="C16" i="1"/>
  <c r="C11" i="1"/>
  <c r="C9" i="1"/>
  <c r="C36" i="1"/>
  <c r="C35" i="1"/>
  <c r="C37" i="1"/>
  <c r="C90" i="1" l="1"/>
  <c r="C89" i="1"/>
  <c r="C88" i="1"/>
  <c r="C69" i="1"/>
  <c r="C67" i="1"/>
  <c r="C68" i="1"/>
  <c r="C14" i="1"/>
  <c r="C13" i="1"/>
  <c r="C15" i="1"/>
  <c r="C20" i="1"/>
  <c r="C21" i="1"/>
</calcChain>
</file>

<file path=xl/sharedStrings.xml><?xml version="1.0" encoding="utf-8"?>
<sst xmlns="http://schemas.openxmlformats.org/spreadsheetml/2006/main" count="207" uniqueCount="204">
  <si>
    <t>C 01.00 - OWN FUNDS (CA1)</t>
  </si>
  <si>
    <t>Rows</t>
  </si>
  <si>
    <t>ID</t>
  </si>
  <si>
    <t>Item</t>
  </si>
  <si>
    <t>Amount</t>
  </si>
  <si>
    <t>010</t>
  </si>
  <si>
    <t>OWN FUNDS</t>
  </si>
  <si>
    <t>015</t>
  </si>
  <si>
    <t>1.1</t>
  </si>
  <si>
    <t>TIER 1 CAPITAL</t>
  </si>
  <si>
    <t>020</t>
  </si>
  <si>
    <t>COMMON EQUITY TIER 1 CAPITAL</t>
  </si>
  <si>
    <t>030</t>
  </si>
  <si>
    <t>Capital instruments eligible as CET1 Capital</t>
  </si>
  <si>
    <t>040</t>
  </si>
  <si>
    <t xml:space="preserve">Paid up capital instruments </t>
  </si>
  <si>
    <t>050</t>
  </si>
  <si>
    <t>1.1.1.1.2*</t>
  </si>
  <si>
    <t>Memorandum item: Capital instruments not eligible</t>
  </si>
  <si>
    <t>060</t>
  </si>
  <si>
    <t>Share premium</t>
  </si>
  <si>
    <t>070</t>
  </si>
  <si>
    <t>(-) Own CET1 instruments</t>
  </si>
  <si>
    <t>080</t>
  </si>
  <si>
    <t>(-) Direct holdings of CET1 instruments</t>
  </si>
  <si>
    <t>090</t>
  </si>
  <si>
    <t>(-) Indirect holdings of CET1 instruments</t>
  </si>
  <si>
    <t>091</t>
  </si>
  <si>
    <t>(-) Synthetic holdings of CET1 instruments</t>
  </si>
  <si>
    <t>092</t>
  </si>
  <si>
    <t>(-) Actual or contingent obligations to purchase own CET1 instruments</t>
  </si>
  <si>
    <t>130</t>
  </si>
  <si>
    <t>Retained earnings</t>
  </si>
  <si>
    <t>140</t>
  </si>
  <si>
    <t>Previous years retained earnings</t>
  </si>
  <si>
    <t>150</t>
  </si>
  <si>
    <t>Profit or loss eligible</t>
  </si>
  <si>
    <t>160</t>
  </si>
  <si>
    <t>Profit or loss attributable to owners of the parent</t>
  </si>
  <si>
    <t>170</t>
  </si>
  <si>
    <t>(-) Part of interim or year-end profit not eligible</t>
  </si>
  <si>
    <t>180</t>
  </si>
  <si>
    <t>Accumulated other comprehensive income</t>
  </si>
  <si>
    <t>200</t>
  </si>
  <si>
    <t>Other reserves</t>
  </si>
  <si>
    <t>210</t>
  </si>
  <si>
    <t>Funds for general banking risk</t>
  </si>
  <si>
    <t>220</t>
  </si>
  <si>
    <t>Transitional adjustments due to grandfathered CET1 Capital instruments</t>
  </si>
  <si>
    <t>230</t>
  </si>
  <si>
    <t>Minority interest given recognition in CET1 capital</t>
  </si>
  <si>
    <t>240</t>
  </si>
  <si>
    <t>Transitional adjustments due to additional minority interests</t>
  </si>
  <si>
    <t>250</t>
  </si>
  <si>
    <t>Adjustments to CET1 due to prudential filters</t>
  </si>
  <si>
    <t>260</t>
  </si>
  <si>
    <t>(-) Increases  in equity resulting from securitised assets</t>
  </si>
  <si>
    <t>270</t>
  </si>
  <si>
    <t>Cash flow hedge reserve</t>
  </si>
  <si>
    <t>280</t>
  </si>
  <si>
    <t>Cumulative gains and losses due to changes in own credit risk on fair valued liabilities</t>
  </si>
  <si>
    <t>285</t>
  </si>
  <si>
    <t>Fair value gains and losses arising from the institution's own credit risk related to derivative liabilities</t>
  </si>
  <si>
    <t>290</t>
  </si>
  <si>
    <t>(-) Value adjustments due to the requirements for prudent valuation</t>
  </si>
  <si>
    <t>300</t>
  </si>
  <si>
    <t>(-) Goodwill</t>
  </si>
  <si>
    <t>310</t>
  </si>
  <si>
    <t>(-) Goodwill accounted for as intangible asset</t>
  </si>
  <si>
    <t>320</t>
  </si>
  <si>
    <t>(-) Goodwill included in the valuation of significant investments</t>
  </si>
  <si>
    <t>330</t>
  </si>
  <si>
    <t>Deferred tax liabilities associated to goodwill</t>
  </si>
  <si>
    <t>340</t>
  </si>
  <si>
    <t>(-) Other intangible assets</t>
  </si>
  <si>
    <t>350</t>
  </si>
  <si>
    <t>(-) Other intangible assets gross amount</t>
  </si>
  <si>
    <t>360</t>
  </si>
  <si>
    <t>Deferred tax liabilities associated to other intangible assets</t>
  </si>
  <si>
    <t>370</t>
  </si>
  <si>
    <t>(-) Deferred tax assets that rely on future profitability and do not arise from temporary differences net of associated tax liabilities</t>
  </si>
  <si>
    <t>380</t>
  </si>
  <si>
    <t>(-) IRB shortfall of credit risk adjustments to expected losses</t>
  </si>
  <si>
    <t>390</t>
  </si>
  <si>
    <t>(-)Defined benefit pension fund assets</t>
  </si>
  <si>
    <t>400</t>
  </si>
  <si>
    <t>(-)Defined benefit pension fund assets gross amount</t>
  </si>
  <si>
    <t>410</t>
  </si>
  <si>
    <t>Deferred tax liabilities associated to defined benefit pension fund assets</t>
  </si>
  <si>
    <t>420</t>
  </si>
  <si>
    <t>Defined benefit pension fund assets which the institution has an unrestricted ability to use</t>
  </si>
  <si>
    <t>430</t>
  </si>
  <si>
    <t>(-) Reciprocal cross holdings in CET1 Capital</t>
  </si>
  <si>
    <t>440</t>
  </si>
  <si>
    <t xml:space="preserve">(-) Excess of deduction from AT1 items over AT1 Capital </t>
  </si>
  <si>
    <t>450</t>
  </si>
  <si>
    <t>(-) Qualifying holdings outside the financial sector which can alternatively be subject to a 1.250% risk weight</t>
  </si>
  <si>
    <t>460</t>
  </si>
  <si>
    <t>(-) Securitisation positions which can alternatively be subject to a 1.250% risk weight</t>
  </si>
  <si>
    <t>470</t>
  </si>
  <si>
    <t>(-) Free deliveries which can alternatively be subject to a 1.250% risk weight</t>
  </si>
  <si>
    <t>471</t>
  </si>
  <si>
    <t>(-) Positions in a basket for which an institution cannot determine the risk weight under the IRB approach, and can alternatively be subject to a 1.250% risk weight</t>
  </si>
  <si>
    <t>472</t>
  </si>
  <si>
    <t>(-) Equity exposures under an internal models approach which can alternatively be subject to a 1.250% risk weight</t>
  </si>
  <si>
    <t>480</t>
  </si>
  <si>
    <t>(-) CET1 instruments of financial sector entites where the institution does not have a significant investment</t>
  </si>
  <si>
    <t>490</t>
  </si>
  <si>
    <t>(-) Deductible deferred tax assets that rely on future profitability and arise from temporary differences</t>
  </si>
  <si>
    <t>500</t>
  </si>
  <si>
    <t>(-) CET1 instruments of financial sector entities where the institution has a significant investment</t>
  </si>
  <si>
    <t>510</t>
  </si>
  <si>
    <t>(-) Amount exceeding the 17.65% threshold</t>
  </si>
  <si>
    <t>520</t>
  </si>
  <si>
    <t>Other transitional adjustments to CET1 Capital</t>
  </si>
  <si>
    <t>524</t>
  </si>
  <si>
    <t>(-) Additional deductions of CET1 Capital due to Article 3 CRR</t>
  </si>
  <si>
    <t>529</t>
  </si>
  <si>
    <t>CET1 capital elements or deductions - other</t>
  </si>
  <si>
    <t>530</t>
  </si>
  <si>
    <t>ADDITIONAL TIER 1 CAPITAL</t>
  </si>
  <si>
    <t>540</t>
  </si>
  <si>
    <t>Capital instruments eligible as AT1 Capital</t>
  </si>
  <si>
    <t>550</t>
  </si>
  <si>
    <t>Paid up capital instruments</t>
  </si>
  <si>
    <t>560</t>
  </si>
  <si>
    <t>1.1.2.1.2*</t>
  </si>
  <si>
    <t>570</t>
  </si>
  <si>
    <t>580</t>
  </si>
  <si>
    <t>(-) Own AT1 instruments</t>
  </si>
  <si>
    <t>590</t>
  </si>
  <si>
    <t>(-) Direct holdings of AT1 instruments</t>
  </si>
  <si>
    <t>620</t>
  </si>
  <si>
    <t>(-) Indirect holdings of AT1 instruments</t>
  </si>
  <si>
    <t>621</t>
  </si>
  <si>
    <t>(-) Synthetic holdings of AT1 instruments</t>
  </si>
  <si>
    <t>622</t>
  </si>
  <si>
    <t>(-) Actual or contingent obligations to purchase own AT1 instruments</t>
  </si>
  <si>
    <t>660</t>
  </si>
  <si>
    <t>Transitional adjustments due to grandfathered AT1 Capital instruments</t>
  </si>
  <si>
    <t>670</t>
  </si>
  <si>
    <t>Instruments issued by subsidiaries that are given recognition in AT1 Capital</t>
  </si>
  <si>
    <t>680</t>
  </si>
  <si>
    <t>Transitional adjustments due to additional recognition in AT1 Capital of instruments issued by subsidiaries</t>
  </si>
  <si>
    <t>690</t>
  </si>
  <si>
    <t>(-) Reciprocal cross holdings in AT1 Capital</t>
  </si>
  <si>
    <t>700</t>
  </si>
  <si>
    <t>(-) AT1 instruments of financial sector entities where the institution does not have a significant investment</t>
  </si>
  <si>
    <t>710</t>
  </si>
  <si>
    <t>(-) AT1 instruments of financial sector entities where the institution has a significant investment</t>
  </si>
  <si>
    <t>720</t>
  </si>
  <si>
    <t>(-) Excess of deduction from T2 items over T2 Capital</t>
  </si>
  <si>
    <t>730</t>
  </si>
  <si>
    <t>Other transitional adjustments to AT1 Capital</t>
  </si>
  <si>
    <t>740</t>
  </si>
  <si>
    <t>Excess of deduction from AT1 items over AT1 Capital (deducted in CET1)</t>
  </si>
  <si>
    <t>744</t>
  </si>
  <si>
    <t>(-) Additional deductions of AT1 Capital due to Article 3 CRR</t>
  </si>
  <si>
    <t>748</t>
  </si>
  <si>
    <t>AT1 capital elements or deductions - other</t>
  </si>
  <si>
    <t>750</t>
  </si>
  <si>
    <t>TIER 2 CAPITAL</t>
  </si>
  <si>
    <t>760</t>
  </si>
  <si>
    <t>Capital instruments and subordinated loans eligible as T2 Capital</t>
  </si>
  <si>
    <t>770</t>
  </si>
  <si>
    <t xml:space="preserve">Paid up capital instruments  and subordinated loans </t>
  </si>
  <si>
    <t>780</t>
  </si>
  <si>
    <t>1.2.1.1*</t>
  </si>
  <si>
    <t>Memorandum item: Capital instruments and subordinated loans not eligible</t>
  </si>
  <si>
    <t>790</t>
  </si>
  <si>
    <t>800</t>
  </si>
  <si>
    <t>(-) Own T2 instruments</t>
  </si>
  <si>
    <t>810</t>
  </si>
  <si>
    <t>(-) Direct holdings of T2 instruments</t>
  </si>
  <si>
    <t>840</t>
  </si>
  <si>
    <t>(-) Indirect holdings of T2 instruments</t>
  </si>
  <si>
    <t>841</t>
  </si>
  <si>
    <t>(-) Synthetic holdings of T2 instruments</t>
  </si>
  <si>
    <t>842</t>
  </si>
  <si>
    <t>(-) Actual or contingent obligations to purchase own T2 instruments</t>
  </si>
  <si>
    <t>880</t>
  </si>
  <si>
    <t xml:space="preserve">Transitional adjustments due to grandfathered T2 Capital instruments and subordinated loans </t>
  </si>
  <si>
    <t>890</t>
  </si>
  <si>
    <t>Instruments issued by subsidiaries that are given recognition in T2 Capital</t>
  </si>
  <si>
    <t>900</t>
  </si>
  <si>
    <t>Transitional adjustments due to additional recognition in T2 Capital of instruments issued by subsidiaries</t>
  </si>
  <si>
    <t>910</t>
  </si>
  <si>
    <t>IRB Excess of provisions over expected losses eligible</t>
  </si>
  <si>
    <t>920</t>
  </si>
  <si>
    <t>SA General credit risk adjustments</t>
  </si>
  <si>
    <t>930</t>
  </si>
  <si>
    <t>(-) Reciprocal cross holdings in T2 Capital</t>
  </si>
  <si>
    <t>940</t>
  </si>
  <si>
    <t>(-) T2 instruments of financial sector entities where the institution does not have a significant investment</t>
  </si>
  <si>
    <t>950</t>
  </si>
  <si>
    <t>(-) T2 instruments of financial sector entities where the institution has a significant investment</t>
  </si>
  <si>
    <t>960</t>
  </si>
  <si>
    <t>Other transitional adjustments to T2 Capital</t>
  </si>
  <si>
    <t>970</t>
  </si>
  <si>
    <t>Excess of deduction from T2 items over T2 Capital (deducted in AT1)</t>
  </si>
  <si>
    <t>974</t>
  </si>
  <si>
    <t>(-) Additional deductions of T2 Capital due to Article 3 CRR</t>
  </si>
  <si>
    <t>978</t>
  </si>
  <si>
    <t>T2 capital elements or deductions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</si>
</sst>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3"/>
  <sheetViews>
    <sheetView tabSelected="1" zoomScale="150" workbookViewId="0">
      <selection activeCell="D11" sqref="D11"/>
    </sheetView>
  </sheetViews>
  <sheetFormatPr baseColWidth="10" defaultColWidth="8.83203125" defaultRowHeight="15" x14ac:dyDescent="0.2"/>
  <cols>
    <col min="4" max="4" width="128.6640625" bestFit="1" customWidth="1"/>
  </cols>
  <sheetData>
    <row r="2" spans="2:5" x14ac:dyDescent="0.2">
      <c r="B2" t="s">
        <v>0</v>
      </c>
    </row>
    <row r="4" spans="2:5" x14ac:dyDescent="0.2">
      <c r="B4" t="s">
        <v>1</v>
      </c>
      <c r="C4" t="s">
        <v>2</v>
      </c>
      <c r="D4" t="s">
        <v>3</v>
      </c>
      <c r="E4" t="s">
        <v>4</v>
      </c>
    </row>
    <row r="5" spans="2:5" x14ac:dyDescent="0.2">
      <c r="B5" t="s">
        <v>5</v>
      </c>
      <c r="C5">
        <v>1</v>
      </c>
      <c r="D5" t="s">
        <v>6</v>
      </c>
      <c r="E5">
        <v>10</v>
      </c>
    </row>
    <row r="6" spans="2:5" x14ac:dyDescent="0.2">
      <c r="B6" t="s">
        <v>7</v>
      </c>
      <c r="C6" t="s">
        <v>8</v>
      </c>
      <c r="D6" t="s">
        <v>9</v>
      </c>
      <c r="E6">
        <f>E5+10</f>
        <v>20</v>
      </c>
    </row>
    <row r="7" spans="2:5" x14ac:dyDescent="0.2">
      <c r="B7" t="s">
        <v>10</v>
      </c>
      <c r="C7" t="str">
        <f>C$6&amp;".1"</f>
        <v>1.1.1</v>
      </c>
      <c r="D7" t="s">
        <v>11</v>
      </c>
      <c r="E7">
        <f t="shared" ref="E7:E70" si="0">E6+10</f>
        <v>30</v>
      </c>
    </row>
    <row r="8" spans="2:5" x14ac:dyDescent="0.2">
      <c r="B8" t="s">
        <v>12</v>
      </c>
      <c r="C8" t="str">
        <f>C$7&amp;".1"</f>
        <v>1.1.1.1</v>
      </c>
      <c r="D8" t="s">
        <v>13</v>
      </c>
      <c r="E8">
        <f t="shared" si="0"/>
        <v>40</v>
      </c>
    </row>
    <row r="9" spans="2:5" x14ac:dyDescent="0.2">
      <c r="B9" t="s">
        <v>14</v>
      </c>
      <c r="C9" t="str">
        <f>C$8&amp;".1"</f>
        <v>1.1.1.1.1</v>
      </c>
      <c r="D9" t="s">
        <v>15</v>
      </c>
      <c r="E9">
        <f t="shared" si="0"/>
        <v>50</v>
      </c>
    </row>
    <row r="10" spans="2:5" x14ac:dyDescent="0.2">
      <c r="B10" t="s">
        <v>16</v>
      </c>
      <c r="C10" t="s">
        <v>17</v>
      </c>
      <c r="D10" t="s">
        <v>18</v>
      </c>
      <c r="E10">
        <f t="shared" si="0"/>
        <v>60</v>
      </c>
    </row>
    <row r="11" spans="2:5" x14ac:dyDescent="0.2">
      <c r="B11" t="s">
        <v>19</v>
      </c>
      <c r="C11" t="str">
        <f>C$8&amp;".3"</f>
        <v>1.1.1.1.3</v>
      </c>
      <c r="D11" t="s">
        <v>20</v>
      </c>
      <c r="E11">
        <f t="shared" si="0"/>
        <v>70</v>
      </c>
    </row>
    <row r="12" spans="2:5" x14ac:dyDescent="0.2">
      <c r="B12" t="s">
        <v>21</v>
      </c>
      <c r="C12" t="str">
        <f>C$8&amp;".4"</f>
        <v>1.1.1.1.4</v>
      </c>
      <c r="D12" t="s">
        <v>22</v>
      </c>
      <c r="E12">
        <f t="shared" si="0"/>
        <v>80</v>
      </c>
    </row>
    <row r="13" spans="2:5" x14ac:dyDescent="0.2">
      <c r="B13" t="s">
        <v>23</v>
      </c>
      <c r="C13" t="str">
        <f>C$12&amp;".1"</f>
        <v>1.1.1.1.4.1</v>
      </c>
      <c r="D13" t="s">
        <v>24</v>
      </c>
      <c r="E13">
        <f t="shared" si="0"/>
        <v>90</v>
      </c>
    </row>
    <row r="14" spans="2:5" x14ac:dyDescent="0.2">
      <c r="B14" t="s">
        <v>25</v>
      </c>
      <c r="C14" t="str">
        <f>C$12&amp;".2"</f>
        <v>1.1.1.1.4.2</v>
      </c>
      <c r="D14" t="s">
        <v>26</v>
      </c>
      <c r="E14">
        <f t="shared" si="0"/>
        <v>100</v>
      </c>
    </row>
    <row r="15" spans="2:5" x14ac:dyDescent="0.2">
      <c r="B15" t="s">
        <v>27</v>
      </c>
      <c r="C15" t="str">
        <f>C$12&amp;".3"</f>
        <v>1.1.1.1.4.3</v>
      </c>
      <c r="D15" t="s">
        <v>28</v>
      </c>
      <c r="E15">
        <f t="shared" si="0"/>
        <v>110</v>
      </c>
    </row>
    <row r="16" spans="2:5" x14ac:dyDescent="0.2">
      <c r="B16" t="s">
        <v>29</v>
      </c>
      <c r="C16" t="str">
        <f>C$8&amp;".5"</f>
        <v>1.1.1.1.5</v>
      </c>
      <c r="D16" t="s">
        <v>30</v>
      </c>
      <c r="E16">
        <f t="shared" si="0"/>
        <v>120</v>
      </c>
    </row>
    <row r="17" spans="2:5" x14ac:dyDescent="0.2">
      <c r="B17" t="s">
        <v>31</v>
      </c>
      <c r="C17" t="str">
        <f>C$7&amp;".2"</f>
        <v>1.1.1.2</v>
      </c>
      <c r="D17" t="s">
        <v>32</v>
      </c>
      <c r="E17">
        <f t="shared" si="0"/>
        <v>130</v>
      </c>
    </row>
    <row r="18" spans="2:5" x14ac:dyDescent="0.2">
      <c r="B18" t="s">
        <v>33</v>
      </c>
      <c r="C18" t="str">
        <f>C$17&amp;".1"</f>
        <v>1.1.1.2.1</v>
      </c>
      <c r="D18" t="s">
        <v>34</v>
      </c>
      <c r="E18">
        <f t="shared" si="0"/>
        <v>140</v>
      </c>
    </row>
    <row r="19" spans="2:5" x14ac:dyDescent="0.2">
      <c r="B19" t="s">
        <v>35</v>
      </c>
      <c r="C19" t="str">
        <f>C$17&amp;".2"</f>
        <v>1.1.1.2.2</v>
      </c>
      <c r="D19" t="s">
        <v>36</v>
      </c>
      <c r="E19">
        <f t="shared" si="0"/>
        <v>150</v>
      </c>
    </row>
    <row r="20" spans="2:5" x14ac:dyDescent="0.2">
      <c r="B20" t="s">
        <v>37</v>
      </c>
      <c r="C20" t="str">
        <f>C$19&amp;".1"</f>
        <v>1.1.1.2.2.1</v>
      </c>
      <c r="D20" t="s">
        <v>38</v>
      </c>
      <c r="E20">
        <f t="shared" si="0"/>
        <v>160</v>
      </c>
    </row>
    <row r="21" spans="2:5" x14ac:dyDescent="0.2">
      <c r="B21" t="s">
        <v>39</v>
      </c>
      <c r="C21" t="str">
        <f>C$19&amp;".2"</f>
        <v>1.1.1.2.2.2</v>
      </c>
      <c r="D21" t="s">
        <v>40</v>
      </c>
      <c r="E21">
        <f t="shared" si="0"/>
        <v>170</v>
      </c>
    </row>
    <row r="22" spans="2:5" x14ac:dyDescent="0.2">
      <c r="B22" t="s">
        <v>41</v>
      </c>
      <c r="C22" t="str">
        <f>C$7&amp;".3"</f>
        <v>1.1.1.3</v>
      </c>
      <c r="D22" t="s">
        <v>42</v>
      </c>
      <c r="E22">
        <f t="shared" si="0"/>
        <v>180</v>
      </c>
    </row>
    <row r="23" spans="2:5" x14ac:dyDescent="0.2">
      <c r="B23" t="s">
        <v>43</v>
      </c>
      <c r="C23" t="str">
        <f>C$7&amp;".4"</f>
        <v>1.1.1.4</v>
      </c>
      <c r="D23" t="s">
        <v>44</v>
      </c>
      <c r="E23">
        <f t="shared" si="0"/>
        <v>190</v>
      </c>
    </row>
    <row r="24" spans="2:5" x14ac:dyDescent="0.2">
      <c r="B24" t="s">
        <v>45</v>
      </c>
      <c r="C24" t="str">
        <f>C$7&amp;".5"</f>
        <v>1.1.1.5</v>
      </c>
      <c r="D24" t="s">
        <v>46</v>
      </c>
      <c r="E24">
        <f t="shared" si="0"/>
        <v>200</v>
      </c>
    </row>
    <row r="25" spans="2:5" x14ac:dyDescent="0.2">
      <c r="B25" t="s">
        <v>47</v>
      </c>
      <c r="C25" t="str">
        <f>C$7&amp;".6"</f>
        <v>1.1.1.6</v>
      </c>
      <c r="D25" t="s">
        <v>48</v>
      </c>
      <c r="E25">
        <f t="shared" si="0"/>
        <v>210</v>
      </c>
    </row>
    <row r="26" spans="2:5" x14ac:dyDescent="0.2">
      <c r="B26" t="s">
        <v>49</v>
      </c>
      <c r="C26" t="str">
        <f>C$7&amp;".7"</f>
        <v>1.1.1.7</v>
      </c>
      <c r="D26" t="s">
        <v>50</v>
      </c>
      <c r="E26">
        <f t="shared" si="0"/>
        <v>220</v>
      </c>
    </row>
    <row r="27" spans="2:5" x14ac:dyDescent="0.2">
      <c r="B27" t="s">
        <v>51</v>
      </c>
      <c r="C27" t="str">
        <f>C$7&amp;".8"</f>
        <v>1.1.1.8</v>
      </c>
      <c r="D27" t="s">
        <v>52</v>
      </c>
      <c r="E27">
        <f t="shared" si="0"/>
        <v>230</v>
      </c>
    </row>
    <row r="28" spans="2:5" x14ac:dyDescent="0.2">
      <c r="B28" t="s">
        <v>53</v>
      </c>
      <c r="C28" t="str">
        <f>C$7&amp;".9"</f>
        <v>1.1.1.9</v>
      </c>
      <c r="D28" t="s">
        <v>54</v>
      </c>
      <c r="E28">
        <f t="shared" si="0"/>
        <v>240</v>
      </c>
    </row>
    <row r="29" spans="2:5" x14ac:dyDescent="0.2">
      <c r="B29" t="s">
        <v>55</v>
      </c>
      <c r="C29" t="str">
        <f>C$28&amp;".1"</f>
        <v>1.1.1.9.1</v>
      </c>
      <c r="D29" t="s">
        <v>56</v>
      </c>
      <c r="E29">
        <f t="shared" si="0"/>
        <v>250</v>
      </c>
    </row>
    <row r="30" spans="2:5" x14ac:dyDescent="0.2">
      <c r="B30" t="s">
        <v>57</v>
      </c>
      <c r="C30" t="str">
        <f>C$28&amp;".2"</f>
        <v>1.1.1.9.2</v>
      </c>
      <c r="D30" t="s">
        <v>58</v>
      </c>
      <c r="E30">
        <f t="shared" si="0"/>
        <v>260</v>
      </c>
    </row>
    <row r="31" spans="2:5" x14ac:dyDescent="0.2">
      <c r="B31" t="s">
        <v>59</v>
      </c>
      <c r="C31" t="str">
        <f>C$28&amp;".3"</f>
        <v>1.1.1.9.3</v>
      </c>
      <c r="D31" t="s">
        <v>60</v>
      </c>
      <c r="E31">
        <f t="shared" si="0"/>
        <v>270</v>
      </c>
    </row>
    <row r="32" spans="2:5" x14ac:dyDescent="0.2">
      <c r="B32" t="s">
        <v>61</v>
      </c>
      <c r="C32" t="str">
        <f>C$28&amp;".4"</f>
        <v>1.1.1.9.4</v>
      </c>
      <c r="D32" t="s">
        <v>62</v>
      </c>
      <c r="E32">
        <f t="shared" si="0"/>
        <v>280</v>
      </c>
    </row>
    <row r="33" spans="2:5" x14ac:dyDescent="0.2">
      <c r="B33" t="s">
        <v>63</v>
      </c>
      <c r="C33" t="str">
        <f>C$28&amp;".5"</f>
        <v>1.1.1.9.5</v>
      </c>
      <c r="D33" t="s">
        <v>64</v>
      </c>
      <c r="E33">
        <f t="shared" si="0"/>
        <v>290</v>
      </c>
    </row>
    <row r="34" spans="2:5" x14ac:dyDescent="0.2">
      <c r="B34" t="s">
        <v>65</v>
      </c>
      <c r="C34" t="str">
        <f>C$7&amp;".10"</f>
        <v>1.1.1.10</v>
      </c>
      <c r="D34" t="s">
        <v>66</v>
      </c>
      <c r="E34">
        <f t="shared" si="0"/>
        <v>300</v>
      </c>
    </row>
    <row r="35" spans="2:5" x14ac:dyDescent="0.2">
      <c r="B35" t="s">
        <v>67</v>
      </c>
      <c r="C35" t="str">
        <f>C$34&amp;".1"</f>
        <v>1.1.1.10.1</v>
      </c>
      <c r="D35" t="s">
        <v>68</v>
      </c>
      <c r="E35">
        <f t="shared" si="0"/>
        <v>310</v>
      </c>
    </row>
    <row r="36" spans="2:5" x14ac:dyDescent="0.2">
      <c r="B36" t="s">
        <v>69</v>
      </c>
      <c r="C36" t="str">
        <f>C$34&amp;".2"</f>
        <v>1.1.1.10.2</v>
      </c>
      <c r="D36" t="s">
        <v>70</v>
      </c>
      <c r="E36">
        <f t="shared" si="0"/>
        <v>320</v>
      </c>
    </row>
    <row r="37" spans="2:5" x14ac:dyDescent="0.2">
      <c r="B37" t="s">
        <v>71</v>
      </c>
      <c r="C37" t="str">
        <f>C$34&amp;".3"</f>
        <v>1.1.1.10.3</v>
      </c>
      <c r="D37" t="s">
        <v>72</v>
      </c>
      <c r="E37">
        <f t="shared" si="0"/>
        <v>330</v>
      </c>
    </row>
    <row r="38" spans="2:5" x14ac:dyDescent="0.2">
      <c r="B38" t="s">
        <v>73</v>
      </c>
      <c r="C38" t="str">
        <f>C$7&amp;".11"</f>
        <v>1.1.1.11</v>
      </c>
      <c r="D38" t="s">
        <v>74</v>
      </c>
      <c r="E38">
        <f t="shared" si="0"/>
        <v>340</v>
      </c>
    </row>
    <row r="39" spans="2:5" x14ac:dyDescent="0.2">
      <c r="B39" t="s">
        <v>75</v>
      </c>
      <c r="C39" t="str">
        <f>C$38&amp;".1"</f>
        <v>1.1.1.11.1</v>
      </c>
      <c r="D39" t="s">
        <v>76</v>
      </c>
      <c r="E39">
        <f t="shared" si="0"/>
        <v>350</v>
      </c>
    </row>
    <row r="40" spans="2:5" x14ac:dyDescent="0.2">
      <c r="B40" t="s">
        <v>77</v>
      </c>
      <c r="C40" t="str">
        <f>C$38&amp;".2"</f>
        <v>1.1.1.11.2</v>
      </c>
      <c r="D40" t="s">
        <v>78</v>
      </c>
      <c r="E40">
        <f t="shared" si="0"/>
        <v>360</v>
      </c>
    </row>
    <row r="41" spans="2:5" x14ac:dyDescent="0.2">
      <c r="B41" t="s">
        <v>79</v>
      </c>
      <c r="C41" t="str">
        <f>C$7&amp;".12"</f>
        <v>1.1.1.12</v>
      </c>
      <c r="D41" t="s">
        <v>80</v>
      </c>
      <c r="E41">
        <f t="shared" si="0"/>
        <v>370</v>
      </c>
    </row>
    <row r="42" spans="2:5" x14ac:dyDescent="0.2">
      <c r="B42" t="s">
        <v>81</v>
      </c>
      <c r="C42" t="str">
        <f>C$7&amp;".13"</f>
        <v>1.1.1.13</v>
      </c>
      <c r="D42" t="s">
        <v>82</v>
      </c>
      <c r="E42">
        <f t="shared" si="0"/>
        <v>380</v>
      </c>
    </row>
    <row r="43" spans="2:5" x14ac:dyDescent="0.2">
      <c r="B43" t="s">
        <v>83</v>
      </c>
      <c r="C43" t="str">
        <f>C$7&amp;".14"</f>
        <v>1.1.1.14</v>
      </c>
      <c r="D43" t="s">
        <v>84</v>
      </c>
      <c r="E43">
        <f t="shared" si="0"/>
        <v>390</v>
      </c>
    </row>
    <row r="44" spans="2:5" x14ac:dyDescent="0.2">
      <c r="B44" t="s">
        <v>85</v>
      </c>
      <c r="C44" t="str">
        <f>C$43&amp;".1"</f>
        <v>1.1.1.14.1</v>
      </c>
      <c r="D44" t="s">
        <v>86</v>
      </c>
      <c r="E44">
        <f t="shared" si="0"/>
        <v>400</v>
      </c>
    </row>
    <row r="45" spans="2:5" x14ac:dyDescent="0.2">
      <c r="B45" t="s">
        <v>87</v>
      </c>
      <c r="C45" t="str">
        <f>C$43&amp;".2"</f>
        <v>1.1.1.14.2</v>
      </c>
      <c r="D45" t="s">
        <v>88</v>
      </c>
      <c r="E45">
        <f t="shared" si="0"/>
        <v>410</v>
      </c>
    </row>
    <row r="46" spans="2:5" x14ac:dyDescent="0.2">
      <c r="B46" t="s">
        <v>89</v>
      </c>
      <c r="C46" t="str">
        <f>C$43&amp;".3"</f>
        <v>1.1.1.14.3</v>
      </c>
      <c r="D46" t="s">
        <v>90</v>
      </c>
      <c r="E46">
        <f t="shared" si="0"/>
        <v>420</v>
      </c>
    </row>
    <row r="47" spans="2:5" x14ac:dyDescent="0.2">
      <c r="B47" t="s">
        <v>91</v>
      </c>
      <c r="C47" t="str">
        <f>C$7&amp;".15"</f>
        <v>1.1.1.15</v>
      </c>
      <c r="D47" t="s">
        <v>92</v>
      </c>
      <c r="E47">
        <f t="shared" si="0"/>
        <v>430</v>
      </c>
    </row>
    <row r="48" spans="2:5" x14ac:dyDescent="0.2">
      <c r="B48" t="s">
        <v>93</v>
      </c>
      <c r="C48" t="str">
        <f>C$7&amp;".16"</f>
        <v>1.1.1.16</v>
      </c>
      <c r="D48" t="s">
        <v>94</v>
      </c>
      <c r="E48">
        <f t="shared" si="0"/>
        <v>440</v>
      </c>
    </row>
    <row r="49" spans="2:5" x14ac:dyDescent="0.2">
      <c r="B49" t="s">
        <v>95</v>
      </c>
      <c r="C49" t="str">
        <f>C$7&amp;".17"</f>
        <v>1.1.1.17</v>
      </c>
      <c r="D49" t="s">
        <v>96</v>
      </c>
      <c r="E49">
        <f t="shared" si="0"/>
        <v>450</v>
      </c>
    </row>
    <row r="50" spans="2:5" x14ac:dyDescent="0.2">
      <c r="B50" t="s">
        <v>97</v>
      </c>
      <c r="C50" t="str">
        <f>C$7&amp;".18"</f>
        <v>1.1.1.18</v>
      </c>
      <c r="D50" t="s">
        <v>98</v>
      </c>
      <c r="E50">
        <f t="shared" si="0"/>
        <v>460</v>
      </c>
    </row>
    <row r="51" spans="2:5" x14ac:dyDescent="0.2">
      <c r="B51" t="s">
        <v>99</v>
      </c>
      <c r="C51" t="str">
        <f>C$7&amp;".19"</f>
        <v>1.1.1.19</v>
      </c>
      <c r="D51" t="s">
        <v>100</v>
      </c>
      <c r="E51">
        <f t="shared" si="0"/>
        <v>470</v>
      </c>
    </row>
    <row r="52" spans="2:5" x14ac:dyDescent="0.2">
      <c r="B52" t="s">
        <v>101</v>
      </c>
      <c r="C52" t="str">
        <f>C$7&amp;".20"</f>
        <v>1.1.1.20</v>
      </c>
      <c r="D52" t="s">
        <v>102</v>
      </c>
      <c r="E52">
        <f t="shared" si="0"/>
        <v>480</v>
      </c>
    </row>
    <row r="53" spans="2:5" x14ac:dyDescent="0.2">
      <c r="B53" t="s">
        <v>103</v>
      </c>
      <c r="C53" t="str">
        <f>C$7&amp;".21"</f>
        <v>1.1.1.21</v>
      </c>
      <c r="D53" t="s">
        <v>104</v>
      </c>
      <c r="E53">
        <f t="shared" si="0"/>
        <v>490</v>
      </c>
    </row>
    <row r="54" spans="2:5" x14ac:dyDescent="0.2">
      <c r="B54" t="s">
        <v>105</v>
      </c>
      <c r="C54" t="str">
        <f>C$7&amp;".22"</f>
        <v>1.1.1.22</v>
      </c>
      <c r="D54" t="s">
        <v>106</v>
      </c>
      <c r="E54">
        <f t="shared" si="0"/>
        <v>500</v>
      </c>
    </row>
    <row r="55" spans="2:5" x14ac:dyDescent="0.2">
      <c r="B55" t="s">
        <v>107</v>
      </c>
      <c r="C55" t="str">
        <f>C$7&amp;".23"</f>
        <v>1.1.1.23</v>
      </c>
      <c r="D55" t="s">
        <v>108</v>
      </c>
      <c r="E55">
        <f t="shared" si="0"/>
        <v>510</v>
      </c>
    </row>
    <row r="56" spans="2:5" x14ac:dyDescent="0.2">
      <c r="B56" t="s">
        <v>109</v>
      </c>
      <c r="C56" t="str">
        <f>C$7&amp;".24"</f>
        <v>1.1.1.24</v>
      </c>
      <c r="D56" t="s">
        <v>110</v>
      </c>
      <c r="E56">
        <f t="shared" si="0"/>
        <v>520</v>
      </c>
    </row>
    <row r="57" spans="2:5" x14ac:dyDescent="0.2">
      <c r="B57" t="s">
        <v>111</v>
      </c>
      <c r="C57" t="str">
        <f>C$7&amp;".25"</f>
        <v>1.1.1.25</v>
      </c>
      <c r="D57" t="s">
        <v>112</v>
      </c>
      <c r="E57">
        <f t="shared" si="0"/>
        <v>530</v>
      </c>
    </row>
    <row r="58" spans="2:5" x14ac:dyDescent="0.2">
      <c r="B58" t="s">
        <v>113</v>
      </c>
      <c r="C58" t="str">
        <f>C$7&amp;".26"</f>
        <v>1.1.1.26</v>
      </c>
      <c r="D58" t="s">
        <v>114</v>
      </c>
      <c r="E58">
        <f t="shared" si="0"/>
        <v>540</v>
      </c>
    </row>
    <row r="59" spans="2:5" x14ac:dyDescent="0.2">
      <c r="B59" t="s">
        <v>115</v>
      </c>
      <c r="C59" t="str">
        <f>C$7&amp;".27"</f>
        <v>1.1.1.27</v>
      </c>
      <c r="D59" t="s">
        <v>116</v>
      </c>
      <c r="E59">
        <f t="shared" si="0"/>
        <v>550</v>
      </c>
    </row>
    <row r="60" spans="2:5" x14ac:dyDescent="0.2">
      <c r="B60" t="s">
        <v>117</v>
      </c>
      <c r="C60" t="str">
        <f>C$7&amp;".28"</f>
        <v>1.1.1.28</v>
      </c>
      <c r="D60" t="s">
        <v>118</v>
      </c>
      <c r="E60">
        <f t="shared" si="0"/>
        <v>560</v>
      </c>
    </row>
    <row r="61" spans="2:5" x14ac:dyDescent="0.2">
      <c r="B61" t="s">
        <v>119</v>
      </c>
      <c r="C61" t="str">
        <f>C$6&amp;".2"</f>
        <v>1.1.2</v>
      </c>
      <c r="D61" t="s">
        <v>120</v>
      </c>
      <c r="E61">
        <f t="shared" si="0"/>
        <v>570</v>
      </c>
    </row>
    <row r="62" spans="2:5" x14ac:dyDescent="0.2">
      <c r="B62" t="s">
        <v>121</v>
      </c>
      <c r="C62" t="str">
        <f>C$61&amp;".1"</f>
        <v>1.1.2.1</v>
      </c>
      <c r="D62" t="s">
        <v>122</v>
      </c>
      <c r="E62">
        <f t="shared" si="0"/>
        <v>580</v>
      </c>
    </row>
    <row r="63" spans="2:5" x14ac:dyDescent="0.2">
      <c r="B63" t="s">
        <v>123</v>
      </c>
      <c r="C63" t="str">
        <f>C$62&amp;".1"</f>
        <v>1.1.2.1.1</v>
      </c>
      <c r="D63" t="s">
        <v>124</v>
      </c>
      <c r="E63">
        <f t="shared" si="0"/>
        <v>590</v>
      </c>
    </row>
    <row r="64" spans="2:5" x14ac:dyDescent="0.2">
      <c r="B64" t="s">
        <v>125</v>
      </c>
      <c r="C64" t="s">
        <v>126</v>
      </c>
      <c r="D64" t="s">
        <v>18</v>
      </c>
      <c r="E64">
        <f t="shared" si="0"/>
        <v>600</v>
      </c>
    </row>
    <row r="65" spans="2:5" x14ac:dyDescent="0.2">
      <c r="B65" t="s">
        <v>127</v>
      </c>
      <c r="C65" t="str">
        <f>C$62&amp;".3"</f>
        <v>1.1.2.1.3</v>
      </c>
      <c r="D65" t="s">
        <v>20</v>
      </c>
      <c r="E65">
        <f t="shared" si="0"/>
        <v>610</v>
      </c>
    </row>
    <row r="66" spans="2:5" x14ac:dyDescent="0.2">
      <c r="B66" t="s">
        <v>128</v>
      </c>
      <c r="C66" t="str">
        <f>C$62&amp;".4"</f>
        <v>1.1.2.1.4</v>
      </c>
      <c r="D66" t="s">
        <v>129</v>
      </c>
      <c r="E66">
        <f t="shared" si="0"/>
        <v>620</v>
      </c>
    </row>
    <row r="67" spans="2:5" x14ac:dyDescent="0.2">
      <c r="B67" t="s">
        <v>130</v>
      </c>
      <c r="C67" t="str">
        <f>C$66&amp;".1"</f>
        <v>1.1.2.1.4.1</v>
      </c>
      <c r="D67" t="s">
        <v>131</v>
      </c>
      <c r="E67">
        <f t="shared" si="0"/>
        <v>630</v>
      </c>
    </row>
    <row r="68" spans="2:5" x14ac:dyDescent="0.2">
      <c r="B68" t="s">
        <v>132</v>
      </c>
      <c r="C68" t="str">
        <f>C$66&amp;".2"</f>
        <v>1.1.2.1.4.2</v>
      </c>
      <c r="D68" t="s">
        <v>133</v>
      </c>
      <c r="E68">
        <f t="shared" si="0"/>
        <v>640</v>
      </c>
    </row>
    <row r="69" spans="2:5" x14ac:dyDescent="0.2">
      <c r="B69" t="s">
        <v>134</v>
      </c>
      <c r="C69" t="str">
        <f>C$66&amp;".3"</f>
        <v>1.1.2.1.4.3</v>
      </c>
      <c r="D69" t="s">
        <v>135</v>
      </c>
      <c r="E69">
        <f t="shared" si="0"/>
        <v>650</v>
      </c>
    </row>
    <row r="70" spans="2:5" x14ac:dyDescent="0.2">
      <c r="B70" t="s">
        <v>136</v>
      </c>
      <c r="C70" t="str">
        <f>C$62&amp;".5"</f>
        <v>1.1.2.1.5</v>
      </c>
      <c r="D70" t="s">
        <v>137</v>
      </c>
      <c r="E70">
        <f t="shared" si="0"/>
        <v>660</v>
      </c>
    </row>
    <row r="71" spans="2:5" x14ac:dyDescent="0.2">
      <c r="B71" t="s">
        <v>138</v>
      </c>
      <c r="C71" t="str">
        <f>C$61&amp;".2"</f>
        <v>1.1.2.2</v>
      </c>
      <c r="D71" t="s">
        <v>139</v>
      </c>
      <c r="E71">
        <f t="shared" ref="E71:E103" si="1">E70+10</f>
        <v>670</v>
      </c>
    </row>
    <row r="72" spans="2:5" x14ac:dyDescent="0.2">
      <c r="B72" t="s">
        <v>140</v>
      </c>
      <c r="C72" t="str">
        <f>C$61&amp;".3"</f>
        <v>1.1.2.3</v>
      </c>
      <c r="D72" t="s">
        <v>141</v>
      </c>
      <c r="E72">
        <f t="shared" si="1"/>
        <v>680</v>
      </c>
    </row>
    <row r="73" spans="2:5" x14ac:dyDescent="0.2">
      <c r="B73" t="s">
        <v>142</v>
      </c>
      <c r="C73" t="str">
        <f>C$61&amp;".4"</f>
        <v>1.1.2.4</v>
      </c>
      <c r="D73" t="s">
        <v>143</v>
      </c>
      <c r="E73">
        <f t="shared" si="1"/>
        <v>690</v>
      </c>
    </row>
    <row r="74" spans="2:5" x14ac:dyDescent="0.2">
      <c r="B74" t="s">
        <v>144</v>
      </c>
      <c r="C74" t="str">
        <f>C$61&amp;".5"</f>
        <v>1.1.2.5</v>
      </c>
      <c r="D74" t="s">
        <v>145</v>
      </c>
      <c r="E74">
        <f t="shared" si="1"/>
        <v>700</v>
      </c>
    </row>
    <row r="75" spans="2:5" x14ac:dyDescent="0.2">
      <c r="B75" t="s">
        <v>146</v>
      </c>
      <c r="C75" t="str">
        <f>C$61&amp;".6"</f>
        <v>1.1.2.6</v>
      </c>
      <c r="D75" t="s">
        <v>147</v>
      </c>
      <c r="E75">
        <f t="shared" si="1"/>
        <v>710</v>
      </c>
    </row>
    <row r="76" spans="2:5" x14ac:dyDescent="0.2">
      <c r="B76" t="s">
        <v>148</v>
      </c>
      <c r="C76" t="str">
        <f>C$61&amp;".7"</f>
        <v>1.1.2.7</v>
      </c>
      <c r="D76" t="s">
        <v>149</v>
      </c>
      <c r="E76">
        <f t="shared" si="1"/>
        <v>720</v>
      </c>
    </row>
    <row r="77" spans="2:5" x14ac:dyDescent="0.2">
      <c r="B77" t="s">
        <v>150</v>
      </c>
      <c r="C77" t="str">
        <f>C$61&amp;".8"</f>
        <v>1.1.2.8</v>
      </c>
      <c r="D77" t="s">
        <v>151</v>
      </c>
      <c r="E77">
        <f t="shared" si="1"/>
        <v>730</v>
      </c>
    </row>
    <row r="78" spans="2:5" x14ac:dyDescent="0.2">
      <c r="B78" t="s">
        <v>152</v>
      </c>
      <c r="C78" t="str">
        <f>C$61&amp;".9"</f>
        <v>1.1.2.9</v>
      </c>
      <c r="D78" t="s">
        <v>153</v>
      </c>
      <c r="E78">
        <f t="shared" si="1"/>
        <v>740</v>
      </c>
    </row>
    <row r="79" spans="2:5" x14ac:dyDescent="0.2">
      <c r="B79" t="s">
        <v>154</v>
      </c>
      <c r="C79" t="str">
        <f>C$61&amp;".10"</f>
        <v>1.1.2.10</v>
      </c>
      <c r="D79" t="s">
        <v>155</v>
      </c>
      <c r="E79">
        <f t="shared" si="1"/>
        <v>750</v>
      </c>
    </row>
    <row r="80" spans="2:5" x14ac:dyDescent="0.2">
      <c r="B80" t="s">
        <v>156</v>
      </c>
      <c r="C80" t="str">
        <f>C$61&amp;".11"</f>
        <v>1.1.2.11</v>
      </c>
      <c r="D80" t="s">
        <v>157</v>
      </c>
      <c r="E80">
        <f t="shared" si="1"/>
        <v>760</v>
      </c>
    </row>
    <row r="81" spans="2:5" x14ac:dyDescent="0.2">
      <c r="B81" t="s">
        <v>158</v>
      </c>
      <c r="C81" t="str">
        <f>C$61&amp;".12"</f>
        <v>1.1.2.12</v>
      </c>
      <c r="D81" t="s">
        <v>159</v>
      </c>
      <c r="E81">
        <f t="shared" si="1"/>
        <v>770</v>
      </c>
    </row>
    <row r="82" spans="2:5" x14ac:dyDescent="0.2">
      <c r="B82" t="s">
        <v>160</v>
      </c>
      <c r="C82" t="str">
        <f>C$5&amp;".2"</f>
        <v>1.2</v>
      </c>
      <c r="D82" t="s">
        <v>161</v>
      </c>
      <c r="E82">
        <f t="shared" si="1"/>
        <v>780</v>
      </c>
    </row>
    <row r="83" spans="2:5" x14ac:dyDescent="0.2">
      <c r="B83" t="s">
        <v>162</v>
      </c>
      <c r="C83" t="str">
        <f>C$82&amp;".1"</f>
        <v>1.2.1</v>
      </c>
      <c r="D83" t="s">
        <v>163</v>
      </c>
      <c r="E83">
        <f t="shared" si="1"/>
        <v>790</v>
      </c>
    </row>
    <row r="84" spans="2:5" x14ac:dyDescent="0.2">
      <c r="B84" t="s">
        <v>164</v>
      </c>
      <c r="C84" t="str">
        <f>C83&amp;".1"</f>
        <v>1.2.1.1</v>
      </c>
      <c r="D84" t="s">
        <v>165</v>
      </c>
      <c r="E84">
        <f t="shared" si="1"/>
        <v>800</v>
      </c>
    </row>
    <row r="85" spans="2:5" x14ac:dyDescent="0.2">
      <c r="B85" t="s">
        <v>166</v>
      </c>
      <c r="C85" t="s">
        <v>167</v>
      </c>
      <c r="D85" t="s">
        <v>168</v>
      </c>
      <c r="E85">
        <f t="shared" si="1"/>
        <v>810</v>
      </c>
    </row>
    <row r="86" spans="2:5" x14ac:dyDescent="0.2">
      <c r="B86" t="s">
        <v>169</v>
      </c>
      <c r="C86" t="str">
        <f>C$83&amp;".3"</f>
        <v>1.2.1.3</v>
      </c>
      <c r="D86" t="s">
        <v>20</v>
      </c>
      <c r="E86">
        <f t="shared" si="1"/>
        <v>820</v>
      </c>
    </row>
    <row r="87" spans="2:5" x14ac:dyDescent="0.2">
      <c r="B87" t="s">
        <v>170</v>
      </c>
      <c r="C87" t="str">
        <f>C$83&amp;".4"</f>
        <v>1.2.1.4</v>
      </c>
      <c r="D87" t="s">
        <v>171</v>
      </c>
      <c r="E87">
        <f t="shared" si="1"/>
        <v>830</v>
      </c>
    </row>
    <row r="88" spans="2:5" x14ac:dyDescent="0.2">
      <c r="B88" t="s">
        <v>172</v>
      </c>
      <c r="C88" t="str">
        <f>C$87&amp;".1"</f>
        <v>1.2.1.4.1</v>
      </c>
      <c r="D88" t="s">
        <v>173</v>
      </c>
      <c r="E88">
        <f t="shared" si="1"/>
        <v>840</v>
      </c>
    </row>
    <row r="89" spans="2:5" x14ac:dyDescent="0.2">
      <c r="B89" t="s">
        <v>174</v>
      </c>
      <c r="C89" t="str">
        <f>C$87&amp;".2"</f>
        <v>1.2.1.4.2</v>
      </c>
      <c r="D89" t="s">
        <v>175</v>
      </c>
      <c r="E89">
        <f t="shared" si="1"/>
        <v>850</v>
      </c>
    </row>
    <row r="90" spans="2:5" x14ac:dyDescent="0.2">
      <c r="B90" t="s">
        <v>176</v>
      </c>
      <c r="C90" t="str">
        <f>C$87&amp;".3"</f>
        <v>1.2.1.4.3</v>
      </c>
      <c r="D90" t="s">
        <v>177</v>
      </c>
      <c r="E90">
        <f t="shared" si="1"/>
        <v>860</v>
      </c>
    </row>
    <row r="91" spans="2:5" x14ac:dyDescent="0.2">
      <c r="B91" t="s">
        <v>178</v>
      </c>
      <c r="C91" t="str">
        <f>C$83&amp;".5"</f>
        <v>1.2.1.5</v>
      </c>
      <c r="D91" t="s">
        <v>179</v>
      </c>
      <c r="E91">
        <f t="shared" si="1"/>
        <v>870</v>
      </c>
    </row>
    <row r="92" spans="2:5" x14ac:dyDescent="0.2">
      <c r="B92" t="s">
        <v>180</v>
      </c>
      <c r="C92" t="str">
        <f>C$82&amp;".2"</f>
        <v>1.2.2</v>
      </c>
      <c r="D92" t="s">
        <v>181</v>
      </c>
      <c r="E92">
        <f t="shared" si="1"/>
        <v>880</v>
      </c>
    </row>
    <row r="93" spans="2:5" x14ac:dyDescent="0.2">
      <c r="B93" t="s">
        <v>182</v>
      </c>
      <c r="C93" t="str">
        <f>C$82&amp;".3"</f>
        <v>1.2.3</v>
      </c>
      <c r="D93" t="s">
        <v>183</v>
      </c>
      <c r="E93">
        <f t="shared" si="1"/>
        <v>890</v>
      </c>
    </row>
    <row r="94" spans="2:5" x14ac:dyDescent="0.2">
      <c r="B94" t="s">
        <v>184</v>
      </c>
      <c r="C94" t="str">
        <f>C$82&amp;".4"</f>
        <v>1.2.4</v>
      </c>
      <c r="D94" t="s">
        <v>185</v>
      </c>
      <c r="E94">
        <f t="shared" si="1"/>
        <v>900</v>
      </c>
    </row>
    <row r="95" spans="2:5" x14ac:dyDescent="0.2">
      <c r="B95" t="s">
        <v>186</v>
      </c>
      <c r="C95" t="str">
        <f>C$82&amp;".5"</f>
        <v>1.2.5</v>
      </c>
      <c r="D95" t="s">
        <v>187</v>
      </c>
      <c r="E95">
        <f t="shared" si="1"/>
        <v>910</v>
      </c>
    </row>
    <row r="96" spans="2:5" x14ac:dyDescent="0.2">
      <c r="B96" t="s">
        <v>188</v>
      </c>
      <c r="C96" t="str">
        <f>C$82&amp;".6"</f>
        <v>1.2.6</v>
      </c>
      <c r="D96" t="s">
        <v>189</v>
      </c>
      <c r="E96">
        <f t="shared" si="1"/>
        <v>920</v>
      </c>
    </row>
    <row r="97" spans="2:5" x14ac:dyDescent="0.2">
      <c r="B97" t="s">
        <v>190</v>
      </c>
      <c r="C97" t="str">
        <f>C$82&amp;".7"</f>
        <v>1.2.7</v>
      </c>
      <c r="D97" t="s">
        <v>191</v>
      </c>
      <c r="E97">
        <f t="shared" si="1"/>
        <v>930</v>
      </c>
    </row>
    <row r="98" spans="2:5" x14ac:dyDescent="0.2">
      <c r="B98" t="s">
        <v>192</v>
      </c>
      <c r="C98" t="str">
        <f>C$82&amp;".8"</f>
        <v>1.2.8</v>
      </c>
      <c r="D98" t="s">
        <v>193</v>
      </c>
      <c r="E98">
        <f t="shared" si="1"/>
        <v>940</v>
      </c>
    </row>
    <row r="99" spans="2:5" x14ac:dyDescent="0.2">
      <c r="B99" t="s">
        <v>194</v>
      </c>
      <c r="C99" t="str">
        <f>C$82&amp;".9"</f>
        <v>1.2.9</v>
      </c>
      <c r="D99" t="s">
        <v>195</v>
      </c>
      <c r="E99">
        <f t="shared" si="1"/>
        <v>950</v>
      </c>
    </row>
    <row r="100" spans="2:5" x14ac:dyDescent="0.2">
      <c r="B100" t="s">
        <v>196</v>
      </c>
      <c r="C100" t="str">
        <f>C$82&amp;".10"</f>
        <v>1.2.10</v>
      </c>
      <c r="D100" t="s">
        <v>197</v>
      </c>
      <c r="E100">
        <f t="shared" si="1"/>
        <v>960</v>
      </c>
    </row>
    <row r="101" spans="2:5" x14ac:dyDescent="0.2">
      <c r="B101" t="s">
        <v>198</v>
      </c>
      <c r="C101" t="str">
        <f>C$82&amp;".11"</f>
        <v>1.2.11</v>
      </c>
      <c r="D101" t="s">
        <v>199</v>
      </c>
      <c r="E101">
        <f t="shared" si="1"/>
        <v>970</v>
      </c>
    </row>
    <row r="102" spans="2:5" x14ac:dyDescent="0.2">
      <c r="B102" t="s">
        <v>200</v>
      </c>
      <c r="C102" t="str">
        <f>C$82&amp;".12"</f>
        <v>1.2.12</v>
      </c>
      <c r="D102" t="s">
        <v>201</v>
      </c>
      <c r="E102">
        <f t="shared" si="1"/>
        <v>980</v>
      </c>
    </row>
    <row r="103" spans="2:5" x14ac:dyDescent="0.2">
      <c r="B103" t="s">
        <v>202</v>
      </c>
      <c r="C103" t="str">
        <f>C$82&amp;".13"</f>
        <v>1.2.13</v>
      </c>
      <c r="D103" t="s">
        <v>203</v>
      </c>
      <c r="E103">
        <f t="shared" si="1"/>
        <v>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4FDE-A8E2-764A-B321-793ABB7F39A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C0100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2026-04-20T07:27:18Z</dcterms:created>
  <dcterms:modified xsi:type="dcterms:W3CDTF">2026-04-27T09:14:55Z</dcterms:modified>
</cp:coreProperties>
</file>