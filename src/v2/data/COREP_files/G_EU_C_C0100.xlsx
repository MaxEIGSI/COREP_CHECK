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C 01.00 - OWN FUNDS (CA1)</t>
        </is>
      </c>
    </row>
    <row r="3"/>
    <row r="4">
      <c r="B4" t="inlineStr">
        <is>
          <t>Rows</t>
        </is>
      </c>
      <c r="C4" t="inlineStr">
        <is>
          <t>ID</t>
        </is>
      </c>
      <c r="D4" t="inlineStr">
        <is>
          <t>Item</t>
        </is>
      </c>
      <c r="E4" t="inlineStr">
        <is>
          <t>Amount</t>
        </is>
      </c>
    </row>
    <row r="5">
      <c r="B5" t="inlineStr">
        <is>
          <t>010</t>
        </is>
      </c>
      <c r="C5" t="n">
        <v>1</v>
      </c>
      <c r="D5" t="inlineStr">
        <is>
          <t>OWN FUNDS</t>
        </is>
      </c>
    </row>
    <row r="6">
      <c r="B6" t="inlineStr">
        <is>
          <t>015</t>
        </is>
      </c>
      <c r="C6" t="inlineStr">
        <is>
          <t>1.1</t>
        </is>
      </c>
      <c r="D6" t="inlineStr">
        <is>
          <t>TIER 1 CAPITAL</t>
        </is>
      </c>
    </row>
    <row r="7">
      <c r="B7" t="inlineStr">
        <is>
          <t>020</t>
        </is>
      </c>
      <c r="C7">
        <f>C$6&amp;".1"</f>
        <v/>
      </c>
      <c r="D7" t="inlineStr">
        <is>
          <t>COMMON EQUITY TIER 1 CAPITAL</t>
        </is>
      </c>
    </row>
    <row r="8">
      <c r="B8" t="inlineStr">
        <is>
          <t>030</t>
        </is>
      </c>
      <c r="C8">
        <f>C$7&amp;".1"</f>
        <v/>
      </c>
      <c r="D8" t="inlineStr">
        <is>
          <t>Capital instruments eligible as CET1 Capital</t>
        </is>
      </c>
    </row>
    <row r="9">
      <c r="B9" t="inlineStr">
        <is>
          <t>040</t>
        </is>
      </c>
      <c r="C9">
        <f>C$8&amp;".1"</f>
        <v/>
      </c>
      <c r="D9" t="inlineStr">
        <is>
          <t xml:space="preserve">Paid up capital instruments </t>
        </is>
      </c>
    </row>
    <row r="10">
      <c r="B10" t="inlineStr">
        <is>
          <t>050</t>
        </is>
      </c>
      <c r="C10" t="inlineStr">
        <is>
          <t>1.1.1.1.2*</t>
        </is>
      </c>
      <c r="D10" t="inlineStr">
        <is>
          <t>Memorandum item: Capital instruments not eligible</t>
        </is>
      </c>
    </row>
    <row r="11">
      <c r="B11" t="inlineStr">
        <is>
          <t>060</t>
        </is>
      </c>
      <c r="C11">
        <f>C$8&amp;".3"</f>
        <v/>
      </c>
      <c r="D11" t="inlineStr">
        <is>
          <t>Share premium</t>
        </is>
      </c>
    </row>
    <row r="12">
      <c r="B12" t="inlineStr">
        <is>
          <t>070</t>
        </is>
      </c>
      <c r="C12">
        <f>C$8&amp;".4"</f>
        <v/>
      </c>
      <c r="D12" t="inlineStr">
        <is>
          <t>(-) Own CET1 instruments</t>
        </is>
      </c>
    </row>
    <row r="13">
      <c r="B13" t="inlineStr">
        <is>
          <t>080</t>
        </is>
      </c>
      <c r="C13">
        <f>C$12&amp;".1"</f>
        <v/>
      </c>
      <c r="D13" t="inlineStr">
        <is>
          <t>(-) Direct holdings of CET1 instruments</t>
        </is>
      </c>
    </row>
    <row r="14">
      <c r="B14" t="inlineStr">
        <is>
          <t>090</t>
        </is>
      </c>
      <c r="C14">
        <f>C$12&amp;".2"</f>
        <v/>
      </c>
      <c r="D14" t="inlineStr">
        <is>
          <t>(-) Indirect holdings of CET1 instruments</t>
        </is>
      </c>
    </row>
    <row r="15">
      <c r="B15" t="inlineStr">
        <is>
          <t>091</t>
        </is>
      </c>
      <c r="C15">
        <f>C$12&amp;".3"</f>
        <v/>
      </c>
      <c r="D15" t="inlineStr">
        <is>
          <t>(-) Synthetic holdings of CET1 instruments</t>
        </is>
      </c>
    </row>
    <row r="16">
      <c r="B16" t="inlineStr">
        <is>
          <t>092</t>
        </is>
      </c>
      <c r="C16">
        <f>C$8&amp;".5"</f>
        <v/>
      </c>
      <c r="D16" t="inlineStr">
        <is>
          <t>(-) Actual or contingent obligations to purchase own CET1 instruments</t>
        </is>
      </c>
    </row>
    <row r="17">
      <c r="B17" t="inlineStr">
        <is>
          <t>130</t>
        </is>
      </c>
      <c r="C17">
        <f>C$7&amp;".2"</f>
        <v/>
      </c>
      <c r="D17" t="inlineStr">
        <is>
          <t>Retained earnings</t>
        </is>
      </c>
    </row>
    <row r="18">
      <c r="B18" t="inlineStr">
        <is>
          <t>140</t>
        </is>
      </c>
      <c r="C18">
        <f>C$17&amp;".1"</f>
        <v/>
      </c>
      <c r="D18" t="inlineStr">
        <is>
          <t>Previous years retained earnings</t>
        </is>
      </c>
    </row>
    <row r="19">
      <c r="B19" t="inlineStr">
        <is>
          <t>150</t>
        </is>
      </c>
      <c r="C19">
        <f>C$17&amp;".2"</f>
        <v/>
      </c>
      <c r="D19" t="inlineStr">
        <is>
          <t>Profit or loss eligible</t>
        </is>
      </c>
    </row>
    <row r="20">
      <c r="B20" t="inlineStr">
        <is>
          <t>160</t>
        </is>
      </c>
      <c r="C20">
        <f>C$19&amp;".1"</f>
        <v/>
      </c>
      <c r="D20" t="inlineStr">
        <is>
          <t>Profit or loss attributable to owners of the parent</t>
        </is>
      </c>
    </row>
    <row r="21">
      <c r="B21" t="inlineStr">
        <is>
          <t>170</t>
        </is>
      </c>
      <c r="C21">
        <f>C$19&amp;".2"</f>
        <v/>
      </c>
      <c r="D21" t="inlineStr">
        <is>
          <t>(-) Part of interim or year-end profit not eligible</t>
        </is>
      </c>
    </row>
    <row r="22">
      <c r="B22" t="inlineStr">
        <is>
          <t>180</t>
        </is>
      </c>
      <c r="C22">
        <f>C$7&amp;".3"</f>
        <v/>
      </c>
      <c r="D22" t="inlineStr">
        <is>
          <t>Accumulated other comprehensive income</t>
        </is>
      </c>
    </row>
    <row r="23">
      <c r="B23" t="inlineStr">
        <is>
          <t>200</t>
        </is>
      </c>
      <c r="C23">
        <f>C$7&amp;".4"</f>
        <v/>
      </c>
      <c r="D23" t="inlineStr">
        <is>
          <t>Other reserves</t>
        </is>
      </c>
    </row>
    <row r="24">
      <c r="B24" t="inlineStr">
        <is>
          <t>210</t>
        </is>
      </c>
      <c r="C24">
        <f>C$7&amp;".5"</f>
        <v/>
      </c>
      <c r="D24" t="inlineStr">
        <is>
          <t>Funds for general banking risk</t>
        </is>
      </c>
    </row>
    <row r="25">
      <c r="B25" t="inlineStr">
        <is>
          <t>220</t>
        </is>
      </c>
      <c r="C25">
        <f>C$7&amp;".6"</f>
        <v/>
      </c>
      <c r="D25" t="inlineStr">
        <is>
          <t>Transitional adjustments due to grandfathered CET1 Capital instruments</t>
        </is>
      </c>
    </row>
    <row r="26">
      <c r="B26" t="inlineStr">
        <is>
          <t>230</t>
        </is>
      </c>
      <c r="C26">
        <f>C$7&amp;".7"</f>
        <v/>
      </c>
      <c r="D26" t="inlineStr">
        <is>
          <t>Minority interest given recognition in CET1 capital</t>
        </is>
      </c>
    </row>
    <row r="27">
      <c r="B27" t="inlineStr">
        <is>
          <t>240</t>
        </is>
      </c>
      <c r="C27">
        <f>C$7&amp;".8"</f>
        <v/>
      </c>
      <c r="D27" t="inlineStr">
        <is>
          <t>Transitional adjustments due to additional minority interests</t>
        </is>
      </c>
    </row>
    <row r="28">
      <c r="B28" t="inlineStr">
        <is>
          <t>250</t>
        </is>
      </c>
      <c r="C28">
        <f>C$7&amp;".9"</f>
        <v/>
      </c>
      <c r="D28" t="inlineStr">
        <is>
          <t>Adjustments to CET1 due to prudential filters</t>
        </is>
      </c>
    </row>
    <row r="29">
      <c r="B29" t="inlineStr">
        <is>
          <t>260</t>
        </is>
      </c>
      <c r="C29">
        <f>C$28&amp;".1"</f>
        <v/>
      </c>
      <c r="D29" t="inlineStr">
        <is>
          <t>(-) Increases  in equity resulting from securitised assets</t>
        </is>
      </c>
    </row>
    <row r="30">
      <c r="B30" t="inlineStr">
        <is>
          <t>270</t>
        </is>
      </c>
      <c r="C30">
        <f>C$28&amp;".2"</f>
        <v/>
      </c>
      <c r="D30" t="inlineStr">
        <is>
          <t>Cash flow hedge reserve</t>
        </is>
      </c>
    </row>
    <row r="31">
      <c r="B31" t="inlineStr">
        <is>
          <t>280</t>
        </is>
      </c>
      <c r="C31">
        <f>C$28&amp;".3"</f>
        <v/>
      </c>
      <c r="D31" t="inlineStr">
        <is>
          <t>Cumulative gains and losses due to changes in own credit risk on fair valued liabilities</t>
        </is>
      </c>
    </row>
    <row r="32">
      <c r="B32" t="inlineStr">
        <is>
          <t>285</t>
        </is>
      </c>
      <c r="C32">
        <f>C$28&amp;".4"</f>
        <v/>
      </c>
      <c r="D32" t="inlineStr">
        <is>
          <t>Fair value gains and losses arising from the institution's own credit risk related to derivative liabilities</t>
        </is>
      </c>
    </row>
    <row r="33">
      <c r="B33" t="inlineStr">
        <is>
          <t>290</t>
        </is>
      </c>
      <c r="C33">
        <f>C$28&amp;".5"</f>
        <v/>
      </c>
      <c r="D33" t="inlineStr">
        <is>
          <t>(-) Value adjustments due to the requirements for prudent valuation</t>
        </is>
      </c>
    </row>
    <row r="34">
      <c r="B34" t="inlineStr">
        <is>
          <t>300</t>
        </is>
      </c>
      <c r="C34">
        <f>C$7&amp;".10"</f>
        <v/>
      </c>
      <c r="D34" t="inlineStr">
        <is>
          <t>(-) Goodwill</t>
        </is>
      </c>
    </row>
    <row r="35">
      <c r="B35" t="inlineStr">
        <is>
          <t>310</t>
        </is>
      </c>
      <c r="C35">
        <f>C$34&amp;".1"</f>
        <v/>
      </c>
      <c r="D35" t="inlineStr">
        <is>
          <t>(-) Goodwill accounted for as intangible asset</t>
        </is>
      </c>
    </row>
    <row r="36">
      <c r="B36" t="inlineStr">
        <is>
          <t>320</t>
        </is>
      </c>
      <c r="C36">
        <f>C$34&amp;".2"</f>
        <v/>
      </c>
      <c r="D36" t="inlineStr">
        <is>
          <t>(-) Goodwill included in the valuation of significant investments</t>
        </is>
      </c>
    </row>
    <row r="37">
      <c r="B37" t="inlineStr">
        <is>
          <t>330</t>
        </is>
      </c>
      <c r="C37">
        <f>C$34&amp;".3"</f>
        <v/>
      </c>
      <c r="D37" t="inlineStr">
        <is>
          <t>Deferred tax liabilities associated to goodwill</t>
        </is>
      </c>
    </row>
    <row r="38">
      <c r="B38" t="inlineStr">
        <is>
          <t>340</t>
        </is>
      </c>
      <c r="C38">
        <f>C$7&amp;".11"</f>
        <v/>
      </c>
      <c r="D38" t="inlineStr">
        <is>
          <t>(-) Other intangible assets</t>
        </is>
      </c>
    </row>
    <row r="39">
      <c r="B39" t="inlineStr">
        <is>
          <t>350</t>
        </is>
      </c>
      <c r="C39">
        <f>C$38&amp;".1"</f>
        <v/>
      </c>
      <c r="D39" t="inlineStr">
        <is>
          <t>(-) Other intangible assets gross amount</t>
        </is>
      </c>
    </row>
    <row r="40">
      <c r="B40" t="inlineStr">
        <is>
          <t>360</t>
        </is>
      </c>
      <c r="C40">
        <f>C$38&amp;".2"</f>
        <v/>
      </c>
      <c r="D40" t="inlineStr">
        <is>
          <t>Deferred tax liabilities associated to other intangible assets</t>
        </is>
      </c>
    </row>
    <row r="41">
      <c r="B41" t="inlineStr">
        <is>
          <t>370</t>
        </is>
      </c>
      <c r="C41">
        <f>C$7&amp;".12"</f>
        <v/>
      </c>
      <c r="D41" t="inlineStr">
        <is>
          <t>(-) Deferred tax assets that rely on future profitability and do not arise from temporary differences net of associated tax liabilities</t>
        </is>
      </c>
    </row>
    <row r="42">
      <c r="B42" t="inlineStr">
        <is>
          <t>380</t>
        </is>
      </c>
      <c r="C42">
        <f>C$7&amp;".13"</f>
        <v/>
      </c>
      <c r="D42" t="inlineStr">
        <is>
          <t>(-) IRB shortfall of credit risk adjustments to expected losses</t>
        </is>
      </c>
    </row>
    <row r="43">
      <c r="B43" t="inlineStr">
        <is>
          <t>390</t>
        </is>
      </c>
      <c r="C43">
        <f>C$7&amp;".14"</f>
        <v/>
      </c>
      <c r="D43" t="inlineStr">
        <is>
          <t>(-)Defined benefit pension fund assets</t>
        </is>
      </c>
    </row>
    <row r="44">
      <c r="B44" t="inlineStr">
        <is>
          <t>400</t>
        </is>
      </c>
      <c r="C44">
        <f>C$43&amp;".1"</f>
        <v/>
      </c>
      <c r="D44" t="inlineStr">
        <is>
          <t>(-)Defined benefit pension fund assets gross amount</t>
        </is>
      </c>
    </row>
    <row r="45">
      <c r="B45" t="inlineStr">
        <is>
          <t>410</t>
        </is>
      </c>
      <c r="C45">
        <f>C$43&amp;".2"</f>
        <v/>
      </c>
      <c r="D45" t="inlineStr">
        <is>
          <t>Deferred tax liabilities associated to defined benefit pension fund assets</t>
        </is>
      </c>
    </row>
    <row r="46">
      <c r="B46" t="inlineStr">
        <is>
          <t>420</t>
        </is>
      </c>
      <c r="C46">
        <f>C$43&amp;".3"</f>
        <v/>
      </c>
      <c r="D46" t="inlineStr">
        <is>
          <t>Defined benefit pension fund assets which the institution has an unrestricted ability to use</t>
        </is>
      </c>
    </row>
    <row r="47">
      <c r="B47" t="inlineStr">
        <is>
          <t>430</t>
        </is>
      </c>
      <c r="C47">
        <f>C$7&amp;".15"</f>
        <v/>
      </c>
      <c r="D47" t="inlineStr">
        <is>
          <t>(-) Reciprocal cross holdings in CET1 Capital</t>
        </is>
      </c>
    </row>
    <row r="48">
      <c r="B48" t="inlineStr">
        <is>
          <t>440</t>
        </is>
      </c>
      <c r="C48">
        <f>C$7&amp;".16"</f>
        <v/>
      </c>
      <c r="D48" t="inlineStr">
        <is>
          <t xml:space="preserve">(-) Excess of deduction from AT1 items over AT1 Capital </t>
        </is>
      </c>
    </row>
    <row r="49">
      <c r="B49" t="inlineStr">
        <is>
          <t>450</t>
        </is>
      </c>
      <c r="C49">
        <f>C$7&amp;".17"</f>
        <v/>
      </c>
      <c r="D49" t="inlineStr">
        <is>
          <t>(-) Qualifying holdings outside the financial sector which can alternatively be subject to a 1.250% risk weight</t>
        </is>
      </c>
    </row>
    <row r="50">
      <c r="B50" t="inlineStr">
        <is>
          <t>460</t>
        </is>
      </c>
      <c r="C50">
        <f>C$7&amp;".18"</f>
        <v/>
      </c>
      <c r="D50" t="inlineStr">
        <is>
          <t>(-) Securitisation positions which can alternatively be subject to a 1.250% risk weight</t>
        </is>
      </c>
    </row>
    <row r="51">
      <c r="B51" t="inlineStr">
        <is>
          <t>470</t>
        </is>
      </c>
      <c r="C51">
        <f>C$7&amp;".19"</f>
        <v/>
      </c>
      <c r="D51" t="inlineStr">
        <is>
          <t>(-) Free deliveries which can alternatively be subject to a 1.250% risk weight</t>
        </is>
      </c>
    </row>
    <row r="52">
      <c r="B52" t="inlineStr">
        <is>
          <t>471</t>
        </is>
      </c>
      <c r="C52">
        <f>C$7&amp;".20"</f>
        <v/>
      </c>
      <c r="D52" t="inlineStr">
        <is>
          <t>(-) Positions in a basket for which an institution cannot determine the risk weight under the IRB approach, and can alternatively be subject to a 1.250% risk weight</t>
        </is>
      </c>
    </row>
    <row r="53">
      <c r="B53" t="inlineStr">
        <is>
          <t>472</t>
        </is>
      </c>
      <c r="C53">
        <f>C$7&amp;".21"</f>
        <v/>
      </c>
      <c r="D53" t="inlineStr">
        <is>
          <t>(-) Equity exposures under an internal models approach which can alternatively be subject to a 1.250% risk weight</t>
        </is>
      </c>
    </row>
    <row r="54">
      <c r="B54" t="inlineStr">
        <is>
          <t>480</t>
        </is>
      </c>
      <c r="C54">
        <f>C$7&amp;".22"</f>
        <v/>
      </c>
      <c r="D54" t="inlineStr">
        <is>
          <t>(-) CET1 instruments of financial sector entites where the institution does not have a significant investment</t>
        </is>
      </c>
    </row>
    <row r="55">
      <c r="B55" t="inlineStr">
        <is>
          <t>490</t>
        </is>
      </c>
      <c r="C55">
        <f>C$7&amp;".23"</f>
        <v/>
      </c>
      <c r="D55" t="inlineStr">
        <is>
          <t>(-) Deductible deferred tax assets that rely on future profitability and arise from temporary differences</t>
        </is>
      </c>
    </row>
    <row r="56">
      <c r="B56" t="inlineStr">
        <is>
          <t>500</t>
        </is>
      </c>
      <c r="C56">
        <f>C$7&amp;".24"</f>
        <v/>
      </c>
      <c r="D56" t="inlineStr">
        <is>
          <t>(-) CET1 instruments of financial sector entities where the institution has a significant investment</t>
        </is>
      </c>
    </row>
    <row r="57">
      <c r="B57" t="inlineStr">
        <is>
          <t>510</t>
        </is>
      </c>
      <c r="C57">
        <f>C$7&amp;".25"</f>
        <v/>
      </c>
      <c r="D57" t="inlineStr">
        <is>
          <t>(-) Amount exceeding the 17.65% threshold</t>
        </is>
      </c>
    </row>
    <row r="58">
      <c r="B58" t="inlineStr">
        <is>
          <t>520</t>
        </is>
      </c>
      <c r="C58">
        <f>C$7&amp;".26"</f>
        <v/>
      </c>
      <c r="D58" t="inlineStr">
        <is>
          <t>Other transitional adjustments to CET1 Capital</t>
        </is>
      </c>
    </row>
    <row r="59">
      <c r="B59" t="inlineStr">
        <is>
          <t>524</t>
        </is>
      </c>
      <c r="C59">
        <f>C$7&amp;".27"</f>
        <v/>
      </c>
      <c r="D59" t="inlineStr">
        <is>
          <t>(-) Additional deductions of CET1 Capital due to Article 3 CRR</t>
        </is>
      </c>
    </row>
    <row r="60">
      <c r="B60" t="inlineStr">
        <is>
          <t>529</t>
        </is>
      </c>
      <c r="C60">
        <f>C$7&amp;".28"</f>
        <v/>
      </c>
      <c r="D60" t="inlineStr">
        <is>
          <t>CET1 capital elements or deductions - other</t>
        </is>
      </c>
    </row>
    <row r="61">
      <c r="B61" t="inlineStr">
        <is>
          <t>530</t>
        </is>
      </c>
      <c r="C61">
        <f>C$6&amp;".2"</f>
        <v/>
      </c>
      <c r="D61" t="inlineStr">
        <is>
          <t>ADDITIONAL TIER 1 CAPITAL</t>
        </is>
      </c>
    </row>
    <row r="62">
      <c r="B62" t="inlineStr">
        <is>
          <t>540</t>
        </is>
      </c>
      <c r="C62">
        <f>C$61&amp;".1"</f>
        <v/>
      </c>
      <c r="D62" t="inlineStr">
        <is>
          <t>Capital instruments eligible as AT1 Capital</t>
        </is>
      </c>
    </row>
    <row r="63">
      <c r="B63" t="inlineStr">
        <is>
          <t>550</t>
        </is>
      </c>
      <c r="C63">
        <f>C$62&amp;".1"</f>
        <v/>
      </c>
      <c r="D63" t="inlineStr">
        <is>
          <t>Paid up capital instruments</t>
        </is>
      </c>
    </row>
    <row r="64">
      <c r="B64" t="inlineStr">
        <is>
          <t>560</t>
        </is>
      </c>
      <c r="C64" t="inlineStr">
        <is>
          <t>1.1.2.1.2*</t>
        </is>
      </c>
      <c r="D64" t="inlineStr">
        <is>
          <t>Memorandum item: Capital instruments not eligible</t>
        </is>
      </c>
    </row>
    <row r="65">
      <c r="B65" t="inlineStr">
        <is>
          <t>570</t>
        </is>
      </c>
      <c r="C65">
        <f>C$62&amp;".3"</f>
        <v/>
      </c>
      <c r="D65" t="inlineStr">
        <is>
          <t>Share premium</t>
        </is>
      </c>
    </row>
    <row r="66">
      <c r="B66" t="inlineStr">
        <is>
          <t>580</t>
        </is>
      </c>
      <c r="C66">
        <f>C$62&amp;".4"</f>
        <v/>
      </c>
      <c r="D66" t="inlineStr">
        <is>
          <t>(-) Own AT1 instruments</t>
        </is>
      </c>
    </row>
    <row r="67">
      <c r="B67" t="inlineStr">
        <is>
          <t>590</t>
        </is>
      </c>
      <c r="C67">
        <f>C$66&amp;".1"</f>
        <v/>
      </c>
      <c r="D67" t="inlineStr">
        <is>
          <t>(-) Direct holdings of AT1 instruments</t>
        </is>
      </c>
    </row>
    <row r="68">
      <c r="B68" t="inlineStr">
        <is>
          <t>620</t>
        </is>
      </c>
      <c r="C68">
        <f>C$66&amp;".2"</f>
        <v/>
      </c>
      <c r="D68" t="inlineStr">
        <is>
          <t>(-) Indirect holdings of AT1 instruments</t>
        </is>
      </c>
    </row>
    <row r="69">
      <c r="B69" t="inlineStr">
        <is>
          <t>621</t>
        </is>
      </c>
      <c r="C69">
        <f>C$66&amp;".3"</f>
        <v/>
      </c>
      <c r="D69" t="inlineStr">
        <is>
          <t>(-) Synthetic holdings of AT1 instruments</t>
        </is>
      </c>
    </row>
    <row r="70">
      <c r="B70" t="inlineStr">
        <is>
          <t>622</t>
        </is>
      </c>
      <c r="C70">
        <f>C$62&amp;".5"</f>
        <v/>
      </c>
      <c r="D70" t="inlineStr">
        <is>
          <t>(-) Actual or contingent obligations to purchase own AT1 instruments</t>
        </is>
      </c>
    </row>
    <row r="71">
      <c r="B71" t="inlineStr">
        <is>
          <t>660</t>
        </is>
      </c>
      <c r="C71">
        <f>C$61&amp;".2"</f>
        <v/>
      </c>
      <c r="D71" t="inlineStr">
        <is>
          <t>Transitional adjustments due to grandfathered AT1 Capital instruments</t>
        </is>
      </c>
    </row>
    <row r="72">
      <c r="B72" t="inlineStr">
        <is>
          <t>670</t>
        </is>
      </c>
      <c r="C72">
        <f>C$61&amp;".3"</f>
        <v/>
      </c>
      <c r="D72" t="inlineStr">
        <is>
          <t>Instruments issued by subsidiaries that are given recognition in AT1 Capital</t>
        </is>
      </c>
    </row>
    <row r="73">
      <c r="B73" t="inlineStr">
        <is>
          <t>680</t>
        </is>
      </c>
      <c r="C73">
        <f>C$61&amp;".4"</f>
        <v/>
      </c>
      <c r="D73" t="inlineStr">
        <is>
          <t>Transitional adjustments due to additional recognition in AT1 Capital of instruments issued by subsidiaries</t>
        </is>
      </c>
    </row>
    <row r="74">
      <c r="B74" t="inlineStr">
        <is>
          <t>690</t>
        </is>
      </c>
      <c r="C74">
        <f>C$61&amp;".5"</f>
        <v/>
      </c>
      <c r="D74" t="inlineStr">
        <is>
          <t>(-) Reciprocal cross holdings in AT1 Capital</t>
        </is>
      </c>
    </row>
    <row r="75">
      <c r="B75" t="inlineStr">
        <is>
          <t>700</t>
        </is>
      </c>
      <c r="C75">
        <f>C$61&amp;".6"</f>
        <v/>
      </c>
      <c r="D75" t="inlineStr">
        <is>
          <t>(-) AT1 instruments of financial sector entities where the institution does not have a significant investment</t>
        </is>
      </c>
    </row>
    <row r="76">
      <c r="B76" t="inlineStr">
        <is>
          <t>710</t>
        </is>
      </c>
      <c r="C76">
        <f>C$61&amp;".7"</f>
        <v/>
      </c>
      <c r="D76" t="inlineStr">
        <is>
          <t>(-) AT1 instruments of financial sector entities where the institution has a significant investment</t>
        </is>
      </c>
    </row>
    <row r="77">
      <c r="B77" t="inlineStr">
        <is>
          <t>720</t>
        </is>
      </c>
      <c r="C77">
        <f>C$61&amp;".8"</f>
        <v/>
      </c>
      <c r="D77" t="inlineStr">
        <is>
          <t>(-) Excess of deduction from T2 items over T2 Capital</t>
        </is>
      </c>
    </row>
    <row r="78">
      <c r="B78" t="inlineStr">
        <is>
          <t>730</t>
        </is>
      </c>
      <c r="C78">
        <f>C$61&amp;".9"</f>
        <v/>
      </c>
      <c r="D78" t="inlineStr">
        <is>
          <t>Other transitional adjustments to AT1 Capital</t>
        </is>
      </c>
    </row>
    <row r="79">
      <c r="B79" t="inlineStr">
        <is>
          <t>740</t>
        </is>
      </c>
      <c r="C79">
        <f>C$61&amp;".10"</f>
        <v/>
      </c>
      <c r="D79" t="inlineStr">
        <is>
          <t>Excess of deduction from AT1 items over AT1 Capital (deducted in CET1)</t>
        </is>
      </c>
    </row>
    <row r="80">
      <c r="B80" t="inlineStr">
        <is>
          <t>744</t>
        </is>
      </c>
      <c r="C80">
        <f>C$61&amp;".11"</f>
        <v/>
      </c>
      <c r="D80" t="inlineStr">
        <is>
          <t>(-) Additional deductions of AT1 Capital due to Article 3 CRR</t>
        </is>
      </c>
    </row>
    <row r="81">
      <c r="B81" t="inlineStr">
        <is>
          <t>748</t>
        </is>
      </c>
      <c r="C81">
        <f>C$61&amp;".12"</f>
        <v/>
      </c>
      <c r="D81" t="inlineStr">
        <is>
          <t>AT1 capital elements or deductions - other</t>
        </is>
      </c>
    </row>
    <row r="82">
      <c r="B82" t="inlineStr">
        <is>
          <t>750</t>
        </is>
      </c>
      <c r="C82">
        <f>C$5&amp;".2"</f>
        <v/>
      </c>
      <c r="D82" t="inlineStr">
        <is>
          <t>TIER 2 CAPITAL</t>
        </is>
      </c>
    </row>
    <row r="83">
      <c r="B83" t="inlineStr">
        <is>
          <t>760</t>
        </is>
      </c>
      <c r="C83">
        <f>C$82&amp;".1"</f>
        <v/>
      </c>
      <c r="D83" t="inlineStr">
        <is>
          <t>Capital instruments and subordinated loans eligible as T2 Capital</t>
        </is>
      </c>
    </row>
    <row r="84">
      <c r="B84" t="inlineStr">
        <is>
          <t>770</t>
        </is>
      </c>
      <c r="C84">
        <f>C83&amp;".1"</f>
        <v/>
      </c>
      <c r="D84" t="inlineStr">
        <is>
          <t xml:space="preserve">Paid up capital instruments  and subordinated loans </t>
        </is>
      </c>
    </row>
    <row r="85">
      <c r="B85" t="inlineStr">
        <is>
          <t>780</t>
        </is>
      </c>
      <c r="C85" t="inlineStr">
        <is>
          <t>1.2.1.1*</t>
        </is>
      </c>
      <c r="D85" t="inlineStr">
        <is>
          <t>Memorandum item: Capital instruments and subordinated loans not eligible</t>
        </is>
      </c>
    </row>
    <row r="86">
      <c r="B86" t="inlineStr">
        <is>
          <t>790</t>
        </is>
      </c>
      <c r="C86">
        <f>C$83&amp;".3"</f>
        <v/>
      </c>
      <c r="D86" t="inlineStr">
        <is>
          <t>Share premium</t>
        </is>
      </c>
    </row>
    <row r="87">
      <c r="B87" t="inlineStr">
        <is>
          <t>800</t>
        </is>
      </c>
      <c r="C87">
        <f>C$83&amp;".4"</f>
        <v/>
      </c>
      <c r="D87" t="inlineStr">
        <is>
          <t>(-) Own T2 instruments</t>
        </is>
      </c>
    </row>
    <row r="88">
      <c r="B88" t="inlineStr">
        <is>
          <t>810</t>
        </is>
      </c>
      <c r="C88">
        <f>C$87&amp;".1"</f>
        <v/>
      </c>
      <c r="D88" t="inlineStr">
        <is>
          <t>(-) Direct holdings of T2 instruments</t>
        </is>
      </c>
    </row>
    <row r="89">
      <c r="B89" t="inlineStr">
        <is>
          <t>840</t>
        </is>
      </c>
      <c r="C89">
        <f>C$87&amp;".2"</f>
        <v/>
      </c>
      <c r="D89" t="inlineStr">
        <is>
          <t>(-) Indirect holdings of T2 instruments</t>
        </is>
      </c>
    </row>
    <row r="90">
      <c r="B90" t="inlineStr">
        <is>
          <t>841</t>
        </is>
      </c>
      <c r="C90">
        <f>C$87&amp;".3"</f>
        <v/>
      </c>
      <c r="D90" t="inlineStr">
        <is>
          <t>(-) Synthetic holdings of T2 instruments</t>
        </is>
      </c>
    </row>
    <row r="91">
      <c r="B91" t="inlineStr">
        <is>
          <t>842</t>
        </is>
      </c>
      <c r="C91">
        <f>C$83&amp;".5"</f>
        <v/>
      </c>
      <c r="D91" t="inlineStr">
        <is>
          <t>(-) Actual or contingent obligations to purchase own T2 instruments</t>
        </is>
      </c>
    </row>
    <row r="92">
      <c r="B92" t="inlineStr">
        <is>
          <t>880</t>
        </is>
      </c>
      <c r="C92">
        <f>C$82&amp;".2"</f>
        <v/>
      </c>
      <c r="D92" t="inlineStr">
        <is>
          <t xml:space="preserve">Transitional adjustments due to grandfathered T2 Capital instruments and subordinated loans </t>
        </is>
      </c>
    </row>
    <row r="93">
      <c r="B93" t="inlineStr">
        <is>
          <t>890</t>
        </is>
      </c>
      <c r="C93">
        <f>C$82&amp;".3"</f>
        <v/>
      </c>
      <c r="D93" t="inlineStr">
        <is>
          <t>Instruments issued by subsidiaries that are given recognition in T2 Capital</t>
        </is>
      </c>
    </row>
    <row r="94">
      <c r="B94" t="inlineStr">
        <is>
          <t>900</t>
        </is>
      </c>
      <c r="C94">
        <f>C$82&amp;".4"</f>
        <v/>
      </c>
      <c r="D94" t="inlineStr">
        <is>
          <t>Transitional adjustments due to additional recognition in T2 Capital of instruments issued by subsidiaries</t>
        </is>
      </c>
    </row>
    <row r="95">
      <c r="B95" t="inlineStr">
        <is>
          <t>910</t>
        </is>
      </c>
      <c r="C95">
        <f>C$82&amp;".5"</f>
        <v/>
      </c>
      <c r="D95" t="inlineStr">
        <is>
          <t>IRB Excess of provisions over expected losses eligible</t>
        </is>
      </c>
    </row>
    <row r="96">
      <c r="B96" t="inlineStr">
        <is>
          <t>920</t>
        </is>
      </c>
      <c r="C96">
        <f>C$82&amp;".6"</f>
        <v/>
      </c>
      <c r="D96" t="inlineStr">
        <is>
          <t>SA General credit risk adjustments</t>
        </is>
      </c>
    </row>
    <row r="97">
      <c r="B97" t="inlineStr">
        <is>
          <t>930</t>
        </is>
      </c>
      <c r="C97">
        <f>C$82&amp;".7"</f>
        <v/>
      </c>
      <c r="D97" t="inlineStr">
        <is>
          <t>(-) Reciprocal cross holdings in T2 Capital</t>
        </is>
      </c>
    </row>
    <row r="98">
      <c r="B98" t="inlineStr">
        <is>
          <t>940</t>
        </is>
      </c>
      <c r="C98">
        <f>C$82&amp;".8"</f>
        <v/>
      </c>
      <c r="D98" t="inlineStr">
        <is>
          <t>(-) T2 instruments of financial sector entities where the institution does not have a significant investment</t>
        </is>
      </c>
    </row>
    <row r="99">
      <c r="B99" t="inlineStr">
        <is>
          <t>950</t>
        </is>
      </c>
      <c r="C99">
        <f>C$82&amp;".9"</f>
        <v/>
      </c>
      <c r="D99" t="inlineStr">
        <is>
          <t>(-) T2 instruments of financial sector entities where the institution has a significant investment</t>
        </is>
      </c>
    </row>
    <row r="100">
      <c r="B100" t="inlineStr">
        <is>
          <t>960</t>
        </is>
      </c>
      <c r="C100">
        <f>C$82&amp;".10"</f>
        <v/>
      </c>
      <c r="D100" t="inlineStr">
        <is>
          <t>Other transitional adjustments to T2 Capital</t>
        </is>
      </c>
    </row>
    <row r="101">
      <c r="B101" t="inlineStr">
        <is>
          <t>970</t>
        </is>
      </c>
      <c r="C101">
        <f>C$82&amp;".11"</f>
        <v/>
      </c>
      <c r="D101" t="inlineStr">
        <is>
          <t>Excess of deduction from T2 items over T2 Capital (deducted in AT1)</t>
        </is>
      </c>
    </row>
    <row r="102">
      <c r="B102" t="inlineStr">
        <is>
          <t>974</t>
        </is>
      </c>
      <c r="C102">
        <f>C$82&amp;".12"</f>
        <v/>
      </c>
      <c r="D102" t="inlineStr">
        <is>
          <t>(-) Additional deductions of T2 Capital due to Article 3 CRR</t>
        </is>
      </c>
    </row>
    <row r="103">
      <c r="B103" t="inlineStr">
        <is>
          <t>978</t>
        </is>
      </c>
      <c r="C103">
        <f>C$82&amp;".13"</f>
        <v/>
      </c>
      <c r="D103" t="inlineStr">
        <is>
          <t>T2 capital elements or deductions - 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2026-04-20T07:27:18Z</dcterms:created>
  <dcterms:modified xmlns:dcterms="http://purl.org/dc/terms/" xmlns:xsi="http://www.w3.org/2001/XMLSchema-instance" xsi:type="dcterms:W3CDTF">2026-04-20T07:27:18Z</dcterms:modified>
</cp:coreProperties>
</file>